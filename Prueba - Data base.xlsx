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rap\Downloads\"/>
    </mc:Choice>
  </mc:AlternateContent>
  <xr:revisionPtr revIDLastSave="0" documentId="13_ncr:1_{3D8F27C3-2D5F-43C7-9288-9AA2AC31EB95}" xr6:coauthVersionLast="47" xr6:coauthVersionMax="47" xr10:uidLastSave="{00000000-0000-0000-0000-000000000000}"/>
  <bookViews>
    <workbookView xWindow="-108" yWindow="-108" windowWidth="23256" windowHeight="12456" xr2:uid="{857E405F-D1FC-6A42-9168-50382DED2404}"/>
  </bookViews>
  <sheets>
    <sheet name="Data bas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5" l="1"/>
  <c r="F31" i="5" s="1"/>
  <c r="F25" i="5"/>
  <c r="F23" i="5"/>
  <c r="F22" i="5"/>
  <c r="F21" i="5"/>
  <c r="F20" i="5"/>
  <c r="J31" i="5"/>
  <c r="J29" i="5"/>
  <c r="J28" i="5"/>
  <c r="J27" i="5"/>
  <c r="J26" i="5"/>
  <c r="H25" i="5"/>
  <c r="L25" i="5" s="1"/>
  <c r="H24" i="5"/>
  <c r="L24" i="5" s="1"/>
  <c r="H23" i="5"/>
  <c r="L23" i="5" s="1"/>
  <c r="H22" i="5"/>
  <c r="L22" i="5" s="1"/>
  <c r="J21" i="5"/>
  <c r="H20" i="5"/>
  <c r="L20" i="5" s="1"/>
  <c r="E30" i="5"/>
  <c r="E29" i="5"/>
  <c r="F29" i="5" s="1"/>
  <c r="E28" i="5"/>
  <c r="F28" i="5" s="1"/>
  <c r="I27" i="5"/>
  <c r="I28" i="5" s="1"/>
  <c r="I29" i="5" s="1"/>
  <c r="I30" i="5" s="1"/>
  <c r="I31" i="5" s="1"/>
  <c r="E27" i="5"/>
  <c r="F27" i="5" s="1"/>
  <c r="E26" i="5"/>
  <c r="F26" i="5" s="1"/>
  <c r="I21" i="5"/>
  <c r="I22" i="5" s="1"/>
  <c r="I23" i="5" s="1"/>
  <c r="I24" i="5" s="1"/>
  <c r="I25" i="5" s="1"/>
  <c r="J19" i="5"/>
  <c r="F6" i="5"/>
  <c r="F5" i="5"/>
  <c r="F3" i="5"/>
  <c r="F7" i="5"/>
  <c r="F2" i="5"/>
  <c r="E13" i="5"/>
  <c r="E19" i="5" s="1"/>
  <c r="F19" i="5" s="1"/>
  <c r="E12" i="5"/>
  <c r="E18" i="5" s="1"/>
  <c r="F18" i="5" s="1"/>
  <c r="E11" i="5"/>
  <c r="F11" i="5" s="1"/>
  <c r="E10" i="5"/>
  <c r="E16" i="5" s="1"/>
  <c r="F16" i="5" s="1"/>
  <c r="E9" i="5"/>
  <c r="E15" i="5" s="1"/>
  <c r="F15" i="5" s="1"/>
  <c r="E8" i="5"/>
  <c r="E14" i="5" s="1"/>
  <c r="F14" i="5" s="1"/>
  <c r="I15" i="5"/>
  <c r="I16" i="5" s="1"/>
  <c r="I17" i="5" s="1"/>
  <c r="I18" i="5" s="1"/>
  <c r="I19" i="5" s="1"/>
  <c r="I9" i="5"/>
  <c r="I10" i="5" s="1"/>
  <c r="I11" i="5" s="1"/>
  <c r="I12" i="5" s="1"/>
  <c r="I13" i="5" s="1"/>
  <c r="H7" i="5"/>
  <c r="N7" i="5" s="1"/>
  <c r="H13" i="5" s="1"/>
  <c r="N13" i="5" s="1"/>
  <c r="H19" i="5" s="1"/>
  <c r="H6" i="5"/>
  <c r="N6" i="5" s="1"/>
  <c r="H12" i="5" s="1"/>
  <c r="N12" i="5" s="1"/>
  <c r="H18" i="5" s="1"/>
  <c r="N18" i="5" s="1"/>
  <c r="H5" i="5"/>
  <c r="N5" i="5" s="1"/>
  <c r="H11" i="5" s="1"/>
  <c r="N11" i="5" s="1"/>
  <c r="H17" i="5" s="1"/>
  <c r="N17" i="5" s="1"/>
  <c r="H4" i="5"/>
  <c r="N4" i="5" s="1"/>
  <c r="H10" i="5" s="1"/>
  <c r="N10" i="5" s="1"/>
  <c r="H16" i="5" s="1"/>
  <c r="N16" i="5" s="1"/>
  <c r="I3" i="5"/>
  <c r="I4" i="5" s="1"/>
  <c r="I5" i="5" s="1"/>
  <c r="I6" i="5" s="1"/>
  <c r="I7" i="5" s="1"/>
  <c r="H3" i="5"/>
  <c r="N3" i="5" s="1"/>
  <c r="H9" i="5" s="1"/>
  <c r="N9" i="5" s="1"/>
  <c r="H15" i="5" s="1"/>
  <c r="N15" i="5" s="1"/>
  <c r="H2" i="5"/>
  <c r="N2" i="5" s="1"/>
  <c r="H8" i="5" s="1"/>
  <c r="N8" i="5" s="1"/>
  <c r="H14" i="5" s="1"/>
  <c r="N14" i="5" s="1"/>
  <c r="F12" i="5" l="1"/>
  <c r="E17" i="5"/>
  <c r="F17" i="5" s="1"/>
  <c r="H21" i="5"/>
  <c r="L21" i="5" s="1"/>
  <c r="J22" i="5"/>
  <c r="N22" i="5" s="1"/>
  <c r="H28" i="5" s="1"/>
  <c r="N24" i="5"/>
  <c r="H30" i="5" s="1"/>
  <c r="J23" i="5"/>
  <c r="N23" i="5" s="1"/>
  <c r="H29" i="5" s="1"/>
  <c r="J25" i="5"/>
  <c r="N25" i="5" s="1"/>
  <c r="H31" i="5" s="1"/>
  <c r="J20" i="5"/>
  <c r="N20" i="5" s="1"/>
  <c r="H26" i="5" s="1"/>
  <c r="F8" i="5"/>
  <c r="F9" i="5"/>
  <c r="N19" i="5"/>
  <c r="N21" i="5" l="1"/>
  <c r="H27" i="5" s="1"/>
  <c r="L27" i="5" s="1"/>
  <c r="N27" i="5" s="1"/>
  <c r="L29" i="5"/>
  <c r="N29" i="5" s="1"/>
  <c r="L31" i="5"/>
  <c r="N31" i="5" s="1"/>
  <c r="L30" i="5"/>
  <c r="N30" i="5" s="1"/>
  <c r="L28" i="5"/>
  <c r="N28" i="5" s="1"/>
  <c r="L26" i="5"/>
  <c r="N26" i="5" s="1"/>
</calcChain>
</file>

<file path=xl/sharedStrings.xml><?xml version="1.0" encoding="utf-8"?>
<sst xmlns="http://schemas.openxmlformats.org/spreadsheetml/2006/main" count="135" uniqueCount="25">
  <si>
    <t>ID</t>
  </si>
  <si>
    <t xml:space="preserve">Cliente </t>
  </si>
  <si>
    <t>Fecha de vencimiento</t>
  </si>
  <si>
    <t>Fecha de pago</t>
  </si>
  <si>
    <t>Valor credito</t>
  </si>
  <si>
    <t>Cuota</t>
  </si>
  <si>
    <t>Interes</t>
  </si>
  <si>
    <t>Interes mora</t>
  </si>
  <si>
    <t>A</t>
  </si>
  <si>
    <t>B</t>
  </si>
  <si>
    <t>D</t>
  </si>
  <si>
    <t>C</t>
  </si>
  <si>
    <t>E</t>
  </si>
  <si>
    <t>F</t>
  </si>
  <si>
    <t># pago</t>
  </si>
  <si>
    <t>?</t>
  </si>
  <si>
    <t>Saldo</t>
  </si>
  <si>
    <t>Fecha de plano</t>
  </si>
  <si>
    <t>Saldo inicial</t>
  </si>
  <si>
    <t>Estado</t>
  </si>
  <si>
    <t>Al día</t>
  </si>
  <si>
    <t>Mora</t>
  </si>
  <si>
    <t>Cosecha / Batch</t>
  </si>
  <si>
    <t>2024-012</t>
  </si>
  <si>
    <t>2024-011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</si>
</sst>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41" fontId="0" fillId="0" borderId="0" xfId="1" applyFont="1"/>
    <xf numFmtId="10" fontId="0" fillId="0" borderId="0" xfId="2" applyNumberFormat="1" applyFont="1"/>
    <xf numFmtId="0" fontId="0" fillId="2" borderId="0" xfId="0" applyFill="1"/>
    <xf numFmtId="14" fontId="0" fillId="2" borderId="0" xfId="0" applyNumberFormat="1" applyFill="1"/>
    <xf numFmtId="41" fontId="0" fillId="2" borderId="0" xfId="1" applyFont="1" applyFill="1"/>
    <xf numFmtId="10" fontId="0" fillId="2" borderId="0" xfId="2" applyNumberFormat="1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4" borderId="0" xfId="0" applyFont="1" applyFill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9E4D-5B79-8245-A065-88722CB013C9}">
  <dimension ref="A1:P37"/>
  <sheetViews>
    <sheetView tabSelected="1" topLeftCell="C1" workbookViewId="0">
      <selection activeCell="R11" sqref="R11"/>
    </sheetView>
  </sheetViews>
  <sheetFormatPr baseColWidth="10" defaultRowHeight="15.6" x14ac:dyDescent="0.3"/>
  <cols>
    <col min="5" max="5" width="19" bestFit="1" customWidth="1"/>
    <col min="6" max="6" width="12.69921875" bestFit="1" customWidth="1"/>
    <col min="7" max="8" width="11.5" bestFit="1" customWidth="1"/>
    <col min="14" max="14" width="11.5" bestFit="1" customWidth="1"/>
    <col min="16" max="16" width="0" hidden="1" customWidth="1"/>
  </cols>
  <sheetData>
    <row r="1" spans="1:16" s="8" customFormat="1" x14ac:dyDescent="0.3">
      <c r="A1" s="8" t="s">
        <v>0</v>
      </c>
      <c r="B1" s="8" t="s">
        <v>1</v>
      </c>
      <c r="C1" s="8" t="s">
        <v>22</v>
      </c>
      <c r="D1" s="8" t="s">
        <v>17</v>
      </c>
      <c r="E1" s="8" t="s">
        <v>2</v>
      </c>
      <c r="F1" s="8" t="s">
        <v>3</v>
      </c>
      <c r="G1" s="8" t="s">
        <v>4</v>
      </c>
      <c r="H1" s="8" t="s">
        <v>18</v>
      </c>
      <c r="I1" s="8" t="s">
        <v>14</v>
      </c>
      <c r="J1" s="8" t="s">
        <v>5</v>
      </c>
      <c r="K1" s="8" t="s">
        <v>6</v>
      </c>
      <c r="L1" s="8" t="s">
        <v>6</v>
      </c>
      <c r="M1" s="8" t="s">
        <v>7</v>
      </c>
      <c r="N1" s="8" t="s">
        <v>16</v>
      </c>
      <c r="O1" s="8" t="s">
        <v>19</v>
      </c>
    </row>
    <row r="2" spans="1:16" x14ac:dyDescent="0.3">
      <c r="B2" t="s">
        <v>8</v>
      </c>
      <c r="C2" t="s">
        <v>23</v>
      </c>
      <c r="D2" s="1">
        <v>45688</v>
      </c>
      <c r="E2" s="1">
        <v>45672</v>
      </c>
      <c r="F2" s="1">
        <f>E2+P2</f>
        <v>45685</v>
      </c>
      <c r="G2" s="2">
        <v>6000000</v>
      </c>
      <c r="H2" s="2">
        <f>G2</f>
        <v>6000000</v>
      </c>
      <c r="I2">
        <v>1</v>
      </c>
      <c r="J2" s="2">
        <v>628234.24062074069</v>
      </c>
      <c r="K2" s="3">
        <v>3.6999999999999998E-2</v>
      </c>
      <c r="L2" s="2">
        <v>111000</v>
      </c>
      <c r="M2" s="9" t="s">
        <v>15</v>
      </c>
      <c r="N2" s="2">
        <f>H2+L2-J2</f>
        <v>5482765.7593792593</v>
      </c>
      <c r="O2" t="s">
        <v>20</v>
      </c>
      <c r="P2" s="11">
        <v>13</v>
      </c>
    </row>
    <row r="3" spans="1:16" x14ac:dyDescent="0.3">
      <c r="B3" t="s">
        <v>9</v>
      </c>
      <c r="C3" t="s">
        <v>23</v>
      </c>
      <c r="D3" s="1">
        <v>45688</v>
      </c>
      <c r="E3" s="1">
        <v>45672</v>
      </c>
      <c r="F3" s="1">
        <f t="shared" ref="F3:F19" si="0">E3+P3</f>
        <v>45696</v>
      </c>
      <c r="G3" s="2">
        <v>12000000</v>
      </c>
      <c r="H3" s="2">
        <f t="shared" ref="H3:H7" si="1">G3</f>
        <v>12000000</v>
      </c>
      <c r="I3">
        <f>I2</f>
        <v>1</v>
      </c>
      <c r="J3" s="2">
        <v>1256468.4812414814</v>
      </c>
      <c r="K3" s="3">
        <v>3.6999999999999998E-2</v>
      </c>
      <c r="L3" s="2">
        <v>266400</v>
      </c>
      <c r="M3" s="9" t="s">
        <v>15</v>
      </c>
      <c r="N3" s="2">
        <f t="shared" ref="N3:N19" si="2">H3+L3-J3</f>
        <v>11009931.518758519</v>
      </c>
      <c r="O3" t="s">
        <v>20</v>
      </c>
      <c r="P3" s="11">
        <v>24</v>
      </c>
    </row>
    <row r="4" spans="1:16" x14ac:dyDescent="0.3">
      <c r="B4" t="s">
        <v>11</v>
      </c>
      <c r="C4" t="s">
        <v>23</v>
      </c>
      <c r="D4" s="1">
        <v>45688</v>
      </c>
      <c r="E4" s="1">
        <v>45672</v>
      </c>
      <c r="F4" s="1">
        <v>45728</v>
      </c>
      <c r="G4" s="2">
        <v>12000000</v>
      </c>
      <c r="H4" s="2">
        <f t="shared" si="1"/>
        <v>12000000</v>
      </c>
      <c r="I4">
        <f t="shared" ref="I4:I7" si="3">I3</f>
        <v>1</v>
      </c>
      <c r="J4" s="2">
        <v>0</v>
      </c>
      <c r="K4" s="3">
        <v>3.6999999999999998E-2</v>
      </c>
      <c r="L4" s="2">
        <v>377400</v>
      </c>
      <c r="M4" s="9" t="s">
        <v>15</v>
      </c>
      <c r="N4" s="2">
        <f t="shared" si="2"/>
        <v>12377400</v>
      </c>
      <c r="O4" t="s">
        <v>21</v>
      </c>
      <c r="P4" s="11">
        <v>-3</v>
      </c>
    </row>
    <row r="5" spans="1:16" x14ac:dyDescent="0.3">
      <c r="B5" t="s">
        <v>10</v>
      </c>
      <c r="C5" t="s">
        <v>23</v>
      </c>
      <c r="D5" s="1">
        <v>45688</v>
      </c>
      <c r="E5" s="1">
        <v>45662</v>
      </c>
      <c r="F5" s="1">
        <f t="shared" si="0"/>
        <v>45704</v>
      </c>
      <c r="G5" s="2">
        <v>9000000</v>
      </c>
      <c r="H5" s="2">
        <f t="shared" si="1"/>
        <v>9000000</v>
      </c>
      <c r="I5">
        <f t="shared" si="3"/>
        <v>1</v>
      </c>
      <c r="J5" s="2">
        <v>942351.36093111115</v>
      </c>
      <c r="K5" s="3">
        <v>3.6999999999999998E-2</v>
      </c>
      <c r="L5" s="2">
        <v>33300</v>
      </c>
      <c r="M5" s="9" t="s">
        <v>15</v>
      </c>
      <c r="N5" s="2">
        <f t="shared" si="2"/>
        <v>8090948.6390688885</v>
      </c>
      <c r="O5" t="s">
        <v>20</v>
      </c>
      <c r="P5" s="11">
        <v>42</v>
      </c>
    </row>
    <row r="6" spans="1:16" x14ac:dyDescent="0.3">
      <c r="B6" t="s">
        <v>12</v>
      </c>
      <c r="C6" t="s">
        <v>23</v>
      </c>
      <c r="D6" s="1">
        <v>45688</v>
      </c>
      <c r="E6" s="1">
        <v>45672</v>
      </c>
      <c r="F6" s="1">
        <f t="shared" si="0"/>
        <v>45666</v>
      </c>
      <c r="G6" s="2">
        <v>8000000</v>
      </c>
      <c r="H6" s="2">
        <f t="shared" si="1"/>
        <v>8000000</v>
      </c>
      <c r="I6">
        <f t="shared" si="3"/>
        <v>1</v>
      </c>
      <c r="J6" s="2">
        <v>837645.65416098759</v>
      </c>
      <c r="K6" s="3">
        <v>3.6999999999999998E-2</v>
      </c>
      <c r="L6" s="2">
        <v>59200</v>
      </c>
      <c r="M6" s="9" t="s">
        <v>15</v>
      </c>
      <c r="N6" s="2">
        <f t="shared" si="2"/>
        <v>7221554.3458390124</v>
      </c>
      <c r="O6" t="s">
        <v>20</v>
      </c>
      <c r="P6" s="11">
        <v>-6</v>
      </c>
    </row>
    <row r="7" spans="1:16" x14ac:dyDescent="0.3">
      <c r="B7" t="s">
        <v>13</v>
      </c>
      <c r="C7" t="s">
        <v>23</v>
      </c>
      <c r="D7" s="1">
        <v>45688</v>
      </c>
      <c r="E7" s="1">
        <v>45662</v>
      </c>
      <c r="F7" s="1">
        <f t="shared" si="0"/>
        <v>45693</v>
      </c>
      <c r="G7" s="2">
        <v>8000000</v>
      </c>
      <c r="H7" s="2">
        <f t="shared" si="1"/>
        <v>8000000</v>
      </c>
      <c r="I7">
        <f t="shared" si="3"/>
        <v>1</v>
      </c>
      <c r="J7" s="2">
        <v>837645.65416098759</v>
      </c>
      <c r="K7" s="3">
        <v>3.6999999999999998E-2</v>
      </c>
      <c r="L7" s="2">
        <v>88800</v>
      </c>
      <c r="M7" s="9" t="s">
        <v>15</v>
      </c>
      <c r="N7" s="2">
        <f t="shared" si="2"/>
        <v>7251154.3458390124</v>
      </c>
      <c r="O7" t="s">
        <v>20</v>
      </c>
      <c r="P7" s="11">
        <v>31</v>
      </c>
    </row>
    <row r="8" spans="1:16" s="4" customFormat="1" x14ac:dyDescent="0.3">
      <c r="B8" s="4" t="s">
        <v>8</v>
      </c>
      <c r="C8" s="4" t="s">
        <v>23</v>
      </c>
      <c r="D8" s="5">
        <v>45716</v>
      </c>
      <c r="E8" s="5">
        <f>E2+31</f>
        <v>45703</v>
      </c>
      <c r="F8" s="5">
        <f t="shared" si="0"/>
        <v>45748</v>
      </c>
      <c r="G8" s="6">
        <v>6000000</v>
      </c>
      <c r="H8" s="6">
        <f t="shared" ref="H8:H19" si="4">N2</f>
        <v>5482765.7593792593</v>
      </c>
      <c r="I8" s="4">
        <v>2</v>
      </c>
      <c r="J8" s="6">
        <v>628234.24062074069</v>
      </c>
      <c r="K8" s="7">
        <v>3.6999999999999998E-2</v>
      </c>
      <c r="L8" s="6">
        <v>111000</v>
      </c>
      <c r="M8" s="10" t="s">
        <v>15</v>
      </c>
      <c r="N8" s="6">
        <f t="shared" si="2"/>
        <v>4965531.5187585186</v>
      </c>
      <c r="O8" s="4" t="s">
        <v>20</v>
      </c>
      <c r="P8" s="11">
        <v>45</v>
      </c>
    </row>
    <row r="9" spans="1:16" x14ac:dyDescent="0.3">
      <c r="B9" t="s">
        <v>9</v>
      </c>
      <c r="C9" t="s">
        <v>23</v>
      </c>
      <c r="D9" s="1">
        <v>45716</v>
      </c>
      <c r="E9" s="1">
        <f t="shared" ref="E9:E13" si="5">E3+31</f>
        <v>45703</v>
      </c>
      <c r="F9" s="1">
        <f t="shared" si="0"/>
        <v>45742</v>
      </c>
      <c r="G9" s="2">
        <v>12000000</v>
      </c>
      <c r="H9" s="2">
        <f t="shared" si="4"/>
        <v>11009931.518758519</v>
      </c>
      <c r="I9">
        <f>I8</f>
        <v>2</v>
      </c>
      <c r="J9" s="2">
        <v>1256468.4812414814</v>
      </c>
      <c r="K9" s="3">
        <v>3.6999999999999998E-2</v>
      </c>
      <c r="L9" s="2">
        <v>266400</v>
      </c>
      <c r="M9" s="9" t="s">
        <v>15</v>
      </c>
      <c r="N9" s="2">
        <f t="shared" si="2"/>
        <v>10019863.037517037</v>
      </c>
      <c r="O9" t="s">
        <v>20</v>
      </c>
      <c r="P9" s="11">
        <v>39</v>
      </c>
    </row>
    <row r="10" spans="1:16" x14ac:dyDescent="0.3">
      <c r="B10" t="s">
        <v>11</v>
      </c>
      <c r="C10" t="s">
        <v>23</v>
      </c>
      <c r="D10" s="1">
        <v>45716</v>
      </c>
      <c r="E10" s="1">
        <f t="shared" si="5"/>
        <v>45703</v>
      </c>
      <c r="F10" s="1">
        <v>45728</v>
      </c>
      <c r="G10" s="2">
        <v>12000000</v>
      </c>
      <c r="H10" s="2">
        <f t="shared" si="4"/>
        <v>12377400</v>
      </c>
      <c r="I10">
        <f t="shared" ref="I10:I13" si="6">I9</f>
        <v>2</v>
      </c>
      <c r="J10" s="2">
        <v>0</v>
      </c>
      <c r="K10" s="3">
        <v>3.6999999999999998E-2</v>
      </c>
      <c r="L10" s="2">
        <v>377400</v>
      </c>
      <c r="M10" s="9" t="s">
        <v>15</v>
      </c>
      <c r="N10" s="2">
        <f t="shared" si="2"/>
        <v>12754800</v>
      </c>
      <c r="O10" t="s">
        <v>21</v>
      </c>
      <c r="P10" s="11">
        <v>-11</v>
      </c>
    </row>
    <row r="11" spans="1:16" x14ac:dyDescent="0.3">
      <c r="B11" t="s">
        <v>10</v>
      </c>
      <c r="C11" t="s">
        <v>23</v>
      </c>
      <c r="D11" s="1">
        <v>45716</v>
      </c>
      <c r="E11" s="1">
        <f t="shared" si="5"/>
        <v>45693</v>
      </c>
      <c r="F11" s="1">
        <f t="shared" si="0"/>
        <v>45722</v>
      </c>
      <c r="G11" s="2">
        <v>9000000</v>
      </c>
      <c r="H11" s="2">
        <f t="shared" si="4"/>
        <v>8090948.6390688885</v>
      </c>
      <c r="I11">
        <f t="shared" si="6"/>
        <v>2</v>
      </c>
      <c r="J11" s="2">
        <v>942351.36093111115</v>
      </c>
      <c r="K11" s="3">
        <v>3.6999999999999998E-2</v>
      </c>
      <c r="L11" s="2">
        <v>33300</v>
      </c>
      <c r="M11" s="9" t="s">
        <v>15</v>
      </c>
      <c r="N11" s="2">
        <f t="shared" si="2"/>
        <v>7181897.278137777</v>
      </c>
      <c r="O11" t="s">
        <v>20</v>
      </c>
      <c r="P11" s="11">
        <v>29</v>
      </c>
    </row>
    <row r="12" spans="1:16" x14ac:dyDescent="0.3">
      <c r="B12" t="s">
        <v>12</v>
      </c>
      <c r="C12" t="s">
        <v>23</v>
      </c>
      <c r="D12" s="1">
        <v>45716</v>
      </c>
      <c r="E12" s="1">
        <f t="shared" si="5"/>
        <v>45703</v>
      </c>
      <c r="F12" s="1">
        <f t="shared" si="0"/>
        <v>45691</v>
      </c>
      <c r="G12" s="2">
        <v>8000000</v>
      </c>
      <c r="H12" s="2">
        <f t="shared" si="4"/>
        <v>7221554.3458390124</v>
      </c>
      <c r="I12">
        <f t="shared" si="6"/>
        <v>2</v>
      </c>
      <c r="J12" s="2">
        <v>837645.65416098759</v>
      </c>
      <c r="K12" s="3">
        <v>3.6999999999999998E-2</v>
      </c>
      <c r="L12" s="2">
        <v>59200</v>
      </c>
      <c r="M12" s="9" t="s">
        <v>15</v>
      </c>
      <c r="N12" s="2">
        <f t="shared" si="2"/>
        <v>6443108.6916780248</v>
      </c>
      <c r="O12" t="s">
        <v>20</v>
      </c>
      <c r="P12" s="11">
        <v>-12</v>
      </c>
    </row>
    <row r="13" spans="1:16" x14ac:dyDescent="0.3">
      <c r="B13" t="s">
        <v>13</v>
      </c>
      <c r="C13" t="s">
        <v>23</v>
      </c>
      <c r="D13" s="1">
        <v>45716</v>
      </c>
      <c r="E13" s="1">
        <f t="shared" si="5"/>
        <v>45693</v>
      </c>
      <c r="F13" s="1">
        <v>45728</v>
      </c>
      <c r="G13" s="2">
        <v>8000000</v>
      </c>
      <c r="H13" s="2">
        <f t="shared" si="4"/>
        <v>7251154.3458390124</v>
      </c>
      <c r="I13">
        <f t="shared" si="6"/>
        <v>2</v>
      </c>
      <c r="J13" s="2">
        <v>0</v>
      </c>
      <c r="K13" s="3">
        <v>3.6999999999999998E-2</v>
      </c>
      <c r="L13" s="2">
        <v>88800</v>
      </c>
      <c r="M13" s="9" t="s">
        <v>15</v>
      </c>
      <c r="N13" s="2">
        <f t="shared" si="2"/>
        <v>7339954.3458390124</v>
      </c>
      <c r="O13" t="s">
        <v>21</v>
      </c>
      <c r="P13" s="11">
        <v>-6</v>
      </c>
    </row>
    <row r="14" spans="1:16" s="4" customFormat="1" x14ac:dyDescent="0.3">
      <c r="B14" s="4" t="s">
        <v>8</v>
      </c>
      <c r="C14" s="4" t="s">
        <v>23</v>
      </c>
      <c r="D14" s="5">
        <v>45747</v>
      </c>
      <c r="E14" s="5">
        <f>E8+28</f>
        <v>45731</v>
      </c>
      <c r="F14" s="5">
        <f t="shared" si="0"/>
        <v>45744</v>
      </c>
      <c r="G14" s="6">
        <v>6000000</v>
      </c>
      <c r="H14" s="6">
        <f t="shared" si="4"/>
        <v>4965531.5187585186</v>
      </c>
      <c r="I14" s="4">
        <v>3</v>
      </c>
      <c r="J14" s="6">
        <v>628234.24062074069</v>
      </c>
      <c r="K14" s="7">
        <v>3.6999999999999998E-2</v>
      </c>
      <c r="L14" s="6">
        <v>111000</v>
      </c>
      <c r="M14" s="10" t="s">
        <v>15</v>
      </c>
      <c r="N14" s="6">
        <f t="shared" si="2"/>
        <v>4448297.2781377779</v>
      </c>
      <c r="O14" s="4" t="s">
        <v>20</v>
      </c>
      <c r="P14" s="11">
        <v>13</v>
      </c>
    </row>
    <row r="15" spans="1:16" x14ac:dyDescent="0.3">
      <c r="B15" t="s">
        <v>9</v>
      </c>
      <c r="C15" t="s">
        <v>23</v>
      </c>
      <c r="D15" s="1">
        <v>45747</v>
      </c>
      <c r="E15" s="1">
        <f t="shared" ref="E15:E19" si="7">E9+28</f>
        <v>45731</v>
      </c>
      <c r="F15" s="1">
        <f t="shared" si="0"/>
        <v>45749</v>
      </c>
      <c r="G15" s="2">
        <v>12000000</v>
      </c>
      <c r="H15" s="2">
        <f t="shared" si="4"/>
        <v>10019863.037517037</v>
      </c>
      <c r="I15">
        <f>I14</f>
        <v>3</v>
      </c>
      <c r="J15" s="2">
        <v>1256468.4812414814</v>
      </c>
      <c r="K15" s="3">
        <v>3.6999999999999998E-2</v>
      </c>
      <c r="L15" s="2">
        <v>266400</v>
      </c>
      <c r="M15" s="9" t="s">
        <v>15</v>
      </c>
      <c r="N15" s="2">
        <f t="shared" si="2"/>
        <v>9029794.5562755559</v>
      </c>
      <c r="O15" t="s">
        <v>20</v>
      </c>
      <c r="P15" s="11">
        <v>18</v>
      </c>
    </row>
    <row r="16" spans="1:16" x14ac:dyDescent="0.3">
      <c r="B16" t="s">
        <v>11</v>
      </c>
      <c r="C16" t="s">
        <v>23</v>
      </c>
      <c r="D16" s="1">
        <v>45747</v>
      </c>
      <c r="E16" s="1">
        <f>E10+28</f>
        <v>45731</v>
      </c>
      <c r="F16" s="1">
        <f>E16+P16</f>
        <v>45717</v>
      </c>
      <c r="G16" s="2">
        <v>12000000</v>
      </c>
      <c r="H16" s="2">
        <f t="shared" si="4"/>
        <v>12754800</v>
      </c>
      <c r="I16">
        <f t="shared" ref="I16:I19" si="8">I15</f>
        <v>3</v>
      </c>
      <c r="J16" s="2">
        <v>500000</v>
      </c>
      <c r="K16" s="3">
        <v>3.6999999999999998E-2</v>
      </c>
      <c r="L16" s="2">
        <v>377400</v>
      </c>
      <c r="M16" s="9" t="s">
        <v>15</v>
      </c>
      <c r="N16" s="2">
        <f t="shared" si="2"/>
        <v>12632200</v>
      </c>
      <c r="O16" t="s">
        <v>21</v>
      </c>
      <c r="P16" s="11">
        <v>-14</v>
      </c>
    </row>
    <row r="17" spans="2:16" x14ac:dyDescent="0.3">
      <c r="B17" t="s">
        <v>10</v>
      </c>
      <c r="C17" t="s">
        <v>23</v>
      </c>
      <c r="D17" s="1">
        <v>45747</v>
      </c>
      <c r="E17" s="1">
        <f t="shared" si="7"/>
        <v>45721</v>
      </c>
      <c r="F17" s="1">
        <f t="shared" si="0"/>
        <v>45707</v>
      </c>
      <c r="G17" s="2">
        <v>9000000</v>
      </c>
      <c r="H17" s="2">
        <f t="shared" si="4"/>
        <v>7181897.278137777</v>
      </c>
      <c r="I17">
        <f t="shared" si="8"/>
        <v>3</v>
      </c>
      <c r="J17" s="2">
        <v>942351.36093111115</v>
      </c>
      <c r="K17" s="3">
        <v>3.6999999999999998E-2</v>
      </c>
      <c r="L17" s="2">
        <v>33300</v>
      </c>
      <c r="M17" s="9" t="s">
        <v>15</v>
      </c>
      <c r="N17" s="2">
        <f t="shared" si="2"/>
        <v>6272845.9172066655</v>
      </c>
      <c r="O17" t="s">
        <v>20</v>
      </c>
      <c r="P17" s="11">
        <v>-14</v>
      </c>
    </row>
    <row r="18" spans="2:16" x14ac:dyDescent="0.3">
      <c r="B18" t="s">
        <v>12</v>
      </c>
      <c r="C18" t="s">
        <v>23</v>
      </c>
      <c r="D18" s="1">
        <v>45747</v>
      </c>
      <c r="E18" s="1">
        <f t="shared" si="7"/>
        <v>45731</v>
      </c>
      <c r="F18" s="1">
        <f t="shared" si="0"/>
        <v>45748</v>
      </c>
      <c r="G18" s="2">
        <v>8000000</v>
      </c>
      <c r="H18" s="2">
        <f t="shared" si="4"/>
        <v>6443108.6916780248</v>
      </c>
      <c r="I18">
        <f t="shared" si="8"/>
        <v>3</v>
      </c>
      <c r="J18" s="2">
        <v>300000</v>
      </c>
      <c r="K18" s="3">
        <v>3.6999999999999998E-2</v>
      </c>
      <c r="L18" s="2">
        <v>59200</v>
      </c>
      <c r="M18" s="9" t="s">
        <v>15</v>
      </c>
      <c r="N18" s="2">
        <f t="shared" si="2"/>
        <v>6202308.6916780248</v>
      </c>
      <c r="O18" t="s">
        <v>20</v>
      </c>
      <c r="P18" s="11">
        <v>17</v>
      </c>
    </row>
    <row r="19" spans="2:16" x14ac:dyDescent="0.3">
      <c r="B19" t="s">
        <v>13</v>
      </c>
      <c r="C19" t="s">
        <v>23</v>
      </c>
      <c r="D19" s="1">
        <v>45747</v>
      </c>
      <c r="E19" s="1">
        <f t="shared" si="7"/>
        <v>45721</v>
      </c>
      <c r="F19" s="1">
        <f t="shared" si="0"/>
        <v>45714</v>
      </c>
      <c r="G19" s="2">
        <v>8000000</v>
      </c>
      <c r="H19" s="2">
        <f t="shared" si="4"/>
        <v>7339954.3458390124</v>
      </c>
      <c r="I19">
        <f t="shared" si="8"/>
        <v>3</v>
      </c>
      <c r="J19" s="2">
        <f>837645.654160988*2</f>
        <v>1675291.3083219761</v>
      </c>
      <c r="K19" s="3">
        <v>3.6999999999999998E-2</v>
      </c>
      <c r="L19" s="2">
        <v>88800</v>
      </c>
      <c r="M19" s="9" t="s">
        <v>15</v>
      </c>
      <c r="N19" s="2">
        <f t="shared" si="2"/>
        <v>5753463.0375170363</v>
      </c>
      <c r="O19" t="s">
        <v>20</v>
      </c>
      <c r="P19" s="11">
        <v>-7</v>
      </c>
    </row>
    <row r="20" spans="2:16" x14ac:dyDescent="0.3">
      <c r="B20" t="s">
        <v>8</v>
      </c>
      <c r="C20" t="s">
        <v>24</v>
      </c>
      <c r="D20" s="1">
        <v>45716</v>
      </c>
      <c r="E20" s="1">
        <v>45672</v>
      </c>
      <c r="F20" s="1">
        <f>E20+P20</f>
        <v>45697</v>
      </c>
      <c r="G20" s="2">
        <v>7000000</v>
      </c>
      <c r="H20" s="2">
        <f>G20</f>
        <v>7000000</v>
      </c>
      <c r="I20">
        <v>1</v>
      </c>
      <c r="J20" s="2">
        <f>-PMT(K20,12,G20)</f>
        <v>732939.94739086425</v>
      </c>
      <c r="K20" s="3">
        <v>3.6999999999999998E-2</v>
      </c>
      <c r="L20" s="2">
        <f>H20*K20</f>
        <v>259000</v>
      </c>
      <c r="M20" s="9" t="s">
        <v>15</v>
      </c>
      <c r="N20" s="2">
        <f>H20+L20-J20</f>
        <v>6526060.0526091354</v>
      </c>
      <c r="O20" t="s">
        <v>20</v>
      </c>
      <c r="P20" s="11">
        <v>25</v>
      </c>
    </row>
    <row r="21" spans="2:16" x14ac:dyDescent="0.3">
      <c r="B21" t="s">
        <v>9</v>
      </c>
      <c r="C21" t="s">
        <v>24</v>
      </c>
      <c r="D21" s="1">
        <v>45716</v>
      </c>
      <c r="E21" s="1">
        <v>45672</v>
      </c>
      <c r="F21" s="1">
        <f t="shared" ref="F21:F29" si="9">E21+P21</f>
        <v>45715</v>
      </c>
      <c r="G21" s="2">
        <v>11000000</v>
      </c>
      <c r="H21" s="2">
        <f t="shared" ref="H21:H25" si="10">G21</f>
        <v>11000000</v>
      </c>
      <c r="I21">
        <f>I20</f>
        <v>1</v>
      </c>
      <c r="J21" s="2">
        <f t="shared" ref="J21:J31" si="11">-PMT(K21,12,G21)</f>
        <v>1151762.7744713579</v>
      </c>
      <c r="K21" s="3">
        <v>3.6999999999999998E-2</v>
      </c>
      <c r="L21" s="2">
        <f t="shared" ref="L21:L31" si="12">H21*K21</f>
        <v>407000</v>
      </c>
      <c r="M21" s="9" t="s">
        <v>15</v>
      </c>
      <c r="N21" s="2">
        <f t="shared" ref="N21:N31" si="13">H21+L21-J21</f>
        <v>10255237.225528643</v>
      </c>
      <c r="O21" t="s">
        <v>20</v>
      </c>
      <c r="P21" s="11">
        <v>43</v>
      </c>
    </row>
    <row r="22" spans="2:16" x14ac:dyDescent="0.3">
      <c r="B22" t="s">
        <v>11</v>
      </c>
      <c r="C22" t="s">
        <v>24</v>
      </c>
      <c r="D22" s="1">
        <v>45716</v>
      </c>
      <c r="E22" s="1">
        <v>45672</v>
      </c>
      <c r="F22" s="1">
        <f t="shared" si="9"/>
        <v>45674</v>
      </c>
      <c r="G22" s="2">
        <v>7000000</v>
      </c>
      <c r="H22" s="2">
        <f t="shared" si="10"/>
        <v>7000000</v>
      </c>
      <c r="I22">
        <f t="shared" ref="I22:I25" si="14">I21</f>
        <v>1</v>
      </c>
      <c r="J22" s="2">
        <f t="shared" si="11"/>
        <v>732939.94739086425</v>
      </c>
      <c r="K22" s="3">
        <v>3.6999999999999998E-2</v>
      </c>
      <c r="L22" s="2">
        <f t="shared" si="12"/>
        <v>259000</v>
      </c>
      <c r="M22" s="9" t="s">
        <v>15</v>
      </c>
      <c r="N22" s="2">
        <f t="shared" si="13"/>
        <v>6526060.0526091354</v>
      </c>
      <c r="O22" t="s">
        <v>20</v>
      </c>
      <c r="P22" s="11">
        <v>2</v>
      </c>
    </row>
    <row r="23" spans="2:16" x14ac:dyDescent="0.3">
      <c r="B23" t="s">
        <v>10</v>
      </c>
      <c r="C23" t="s">
        <v>24</v>
      </c>
      <c r="D23" s="1">
        <v>45716</v>
      </c>
      <c r="E23" s="1">
        <v>45662</v>
      </c>
      <c r="F23" s="1">
        <f t="shared" si="9"/>
        <v>45700</v>
      </c>
      <c r="G23" s="2">
        <v>9000000</v>
      </c>
      <c r="H23" s="2">
        <f t="shared" si="10"/>
        <v>9000000</v>
      </c>
      <c r="I23">
        <f t="shared" si="14"/>
        <v>1</v>
      </c>
      <c r="J23" s="2">
        <f t="shared" si="11"/>
        <v>942351.36093111115</v>
      </c>
      <c r="K23" s="3">
        <v>3.6999999999999998E-2</v>
      </c>
      <c r="L23" s="2">
        <f t="shared" si="12"/>
        <v>333000</v>
      </c>
      <c r="M23" s="9" t="s">
        <v>15</v>
      </c>
      <c r="N23" s="2">
        <f t="shared" si="13"/>
        <v>8390648.6390688885</v>
      </c>
      <c r="O23" t="s">
        <v>20</v>
      </c>
      <c r="P23" s="11">
        <v>38</v>
      </c>
    </row>
    <row r="24" spans="2:16" x14ac:dyDescent="0.3">
      <c r="B24" t="s">
        <v>12</v>
      </c>
      <c r="C24" t="s">
        <v>24</v>
      </c>
      <c r="D24" s="1">
        <v>45716</v>
      </c>
      <c r="E24" s="1">
        <v>45672</v>
      </c>
      <c r="F24" s="1">
        <v>45708</v>
      </c>
      <c r="G24" s="2">
        <v>6000000</v>
      </c>
      <c r="H24" s="2">
        <f t="shared" si="10"/>
        <v>6000000</v>
      </c>
      <c r="I24">
        <f t="shared" si="14"/>
        <v>1</v>
      </c>
      <c r="J24" s="2">
        <v>0</v>
      </c>
      <c r="K24" s="3">
        <v>3.6999999999999998E-2</v>
      </c>
      <c r="L24" s="2">
        <f t="shared" si="12"/>
        <v>222000</v>
      </c>
      <c r="M24" s="9" t="s">
        <v>15</v>
      </c>
      <c r="N24" s="2">
        <f t="shared" si="13"/>
        <v>6222000</v>
      </c>
      <c r="O24" t="s">
        <v>21</v>
      </c>
      <c r="P24" s="11">
        <v>13</v>
      </c>
    </row>
    <row r="25" spans="2:16" x14ac:dyDescent="0.3">
      <c r="B25" t="s">
        <v>13</v>
      </c>
      <c r="C25" t="s">
        <v>24</v>
      </c>
      <c r="D25" s="1">
        <v>45716</v>
      </c>
      <c r="E25" s="1">
        <v>45662</v>
      </c>
      <c r="F25" s="1">
        <f t="shared" si="9"/>
        <v>45679</v>
      </c>
      <c r="G25" s="2">
        <v>7000000</v>
      </c>
      <c r="H25" s="2">
        <f t="shared" si="10"/>
        <v>7000000</v>
      </c>
      <c r="I25">
        <f t="shared" si="14"/>
        <v>1</v>
      </c>
      <c r="J25" s="2">
        <f t="shared" si="11"/>
        <v>732939.94739086425</v>
      </c>
      <c r="K25" s="3">
        <v>3.6999999999999998E-2</v>
      </c>
      <c r="L25" s="2">
        <f t="shared" si="12"/>
        <v>259000</v>
      </c>
      <c r="M25" s="9" t="s">
        <v>15</v>
      </c>
      <c r="N25" s="2">
        <f t="shared" si="13"/>
        <v>6526060.0526091354</v>
      </c>
      <c r="O25" t="s">
        <v>20</v>
      </c>
      <c r="P25" s="11">
        <v>17</v>
      </c>
    </row>
    <row r="26" spans="2:16" x14ac:dyDescent="0.3">
      <c r="B26" s="4" t="s">
        <v>8</v>
      </c>
      <c r="C26" s="4" t="s">
        <v>24</v>
      </c>
      <c r="D26" s="5">
        <v>45747</v>
      </c>
      <c r="E26" s="5">
        <f>E20+31</f>
        <v>45703</v>
      </c>
      <c r="F26" s="5">
        <f t="shared" si="9"/>
        <v>45699</v>
      </c>
      <c r="G26" s="6">
        <v>7000000</v>
      </c>
      <c r="H26" s="6">
        <f t="shared" ref="H26:H31" si="15">N20</f>
        <v>6526060.0526091354</v>
      </c>
      <c r="I26" s="4">
        <v>2</v>
      </c>
      <c r="J26" s="6">
        <f t="shared" si="11"/>
        <v>732939.94739086425</v>
      </c>
      <c r="K26" s="7">
        <v>3.6999999999999998E-2</v>
      </c>
      <c r="L26" s="6">
        <f t="shared" si="12"/>
        <v>241464.22194653799</v>
      </c>
      <c r="M26" s="10" t="s">
        <v>15</v>
      </c>
      <c r="N26" s="6">
        <f t="shared" si="13"/>
        <v>6034584.3271648092</v>
      </c>
      <c r="O26" s="4" t="s">
        <v>20</v>
      </c>
      <c r="P26" s="11">
        <v>-4</v>
      </c>
    </row>
    <row r="27" spans="2:16" x14ac:dyDescent="0.3">
      <c r="B27" t="s">
        <v>9</v>
      </c>
      <c r="C27" t="s">
        <v>24</v>
      </c>
      <c r="D27" s="1">
        <v>45747</v>
      </c>
      <c r="E27" s="1">
        <f t="shared" ref="E27:E30" si="16">E21+31</f>
        <v>45703</v>
      </c>
      <c r="F27" s="1">
        <f t="shared" si="9"/>
        <v>45745</v>
      </c>
      <c r="G27" s="2">
        <v>11000000</v>
      </c>
      <c r="H27" s="2">
        <f t="shared" si="15"/>
        <v>10255237.225528643</v>
      </c>
      <c r="I27">
        <f>I26</f>
        <v>2</v>
      </c>
      <c r="J27" s="2">
        <f t="shared" si="11"/>
        <v>1151762.7744713579</v>
      </c>
      <c r="K27" s="3">
        <v>3.6999999999999998E-2</v>
      </c>
      <c r="L27" s="2">
        <f t="shared" si="12"/>
        <v>379443.77734455973</v>
      </c>
      <c r="M27" s="9" t="s">
        <v>15</v>
      </c>
      <c r="N27" s="2">
        <f t="shared" si="13"/>
        <v>9482918.2284018453</v>
      </c>
      <c r="O27" t="s">
        <v>20</v>
      </c>
      <c r="P27" s="11">
        <v>42</v>
      </c>
    </row>
    <row r="28" spans="2:16" x14ac:dyDescent="0.3">
      <c r="B28" t="s">
        <v>11</v>
      </c>
      <c r="C28" t="s">
        <v>24</v>
      </c>
      <c r="D28" s="1">
        <v>45747</v>
      </c>
      <c r="E28" s="1">
        <f t="shared" si="16"/>
        <v>45703</v>
      </c>
      <c r="F28" s="1">
        <f t="shared" si="9"/>
        <v>45706</v>
      </c>
      <c r="G28" s="2">
        <v>7000000</v>
      </c>
      <c r="H28" s="2">
        <f t="shared" si="15"/>
        <v>6526060.0526091354</v>
      </c>
      <c r="I28">
        <f t="shared" ref="I28:I31" si="17">I27</f>
        <v>2</v>
      </c>
      <c r="J28" s="2">
        <f t="shared" si="11"/>
        <v>732939.94739086425</v>
      </c>
      <c r="K28" s="3">
        <v>3.6999999999999998E-2</v>
      </c>
      <c r="L28" s="2">
        <f t="shared" si="12"/>
        <v>241464.22194653799</v>
      </c>
      <c r="M28" s="9" t="s">
        <v>15</v>
      </c>
      <c r="N28" s="2">
        <f t="shared" si="13"/>
        <v>6034584.3271648092</v>
      </c>
      <c r="O28" t="s">
        <v>20</v>
      </c>
      <c r="P28" s="11">
        <v>3</v>
      </c>
    </row>
    <row r="29" spans="2:16" x14ac:dyDescent="0.3">
      <c r="B29" t="s">
        <v>10</v>
      </c>
      <c r="C29" t="s">
        <v>24</v>
      </c>
      <c r="D29" s="1">
        <v>45747</v>
      </c>
      <c r="E29" s="1">
        <f t="shared" si="16"/>
        <v>45693</v>
      </c>
      <c r="F29" s="1">
        <f t="shared" si="9"/>
        <v>45689</v>
      </c>
      <c r="G29" s="2">
        <v>9000000</v>
      </c>
      <c r="H29" s="2">
        <f t="shared" si="15"/>
        <v>8390648.6390688885</v>
      </c>
      <c r="I29">
        <f t="shared" si="17"/>
        <v>2</v>
      </c>
      <c r="J29" s="2">
        <f t="shared" si="11"/>
        <v>942351.36093111115</v>
      </c>
      <c r="K29" s="3">
        <v>3.6999999999999998E-2</v>
      </c>
      <c r="L29" s="2">
        <f t="shared" si="12"/>
        <v>310453.99964554887</v>
      </c>
      <c r="M29" s="9" t="s">
        <v>15</v>
      </c>
      <c r="N29" s="2">
        <f t="shared" si="13"/>
        <v>7758751.2777833249</v>
      </c>
      <c r="O29" t="s">
        <v>20</v>
      </c>
      <c r="P29" s="11">
        <v>-4</v>
      </c>
    </row>
    <row r="30" spans="2:16" x14ac:dyDescent="0.3">
      <c r="B30" t="s">
        <v>12</v>
      </c>
      <c r="C30" t="s">
        <v>24</v>
      </c>
      <c r="D30" s="1">
        <v>45747</v>
      </c>
      <c r="E30" s="1">
        <f t="shared" si="16"/>
        <v>45703</v>
      </c>
      <c r="F30" s="1">
        <v>45746</v>
      </c>
      <c r="G30" s="2">
        <v>6000000</v>
      </c>
      <c r="H30" s="2">
        <f t="shared" si="15"/>
        <v>6222000</v>
      </c>
      <c r="I30">
        <f t="shared" si="17"/>
        <v>2</v>
      </c>
      <c r="J30" s="2">
        <v>0</v>
      </c>
      <c r="K30" s="3">
        <v>3.6999999999999998E-2</v>
      </c>
      <c r="L30" s="2">
        <f t="shared" si="12"/>
        <v>230214</v>
      </c>
      <c r="M30" s="9" t="s">
        <v>15</v>
      </c>
      <c r="N30" s="2">
        <f t="shared" si="13"/>
        <v>6452214</v>
      </c>
      <c r="O30" t="s">
        <v>21</v>
      </c>
      <c r="P30" s="11">
        <v>25</v>
      </c>
    </row>
    <row r="31" spans="2:16" x14ac:dyDescent="0.3">
      <c r="B31" t="s">
        <v>13</v>
      </c>
      <c r="C31" t="s">
        <v>24</v>
      </c>
      <c r="D31" s="1">
        <v>45747</v>
      </c>
      <c r="E31" s="1">
        <f>E25+31</f>
        <v>45693</v>
      </c>
      <c r="F31" s="1">
        <f>E31+P31</f>
        <v>45734</v>
      </c>
      <c r="G31" s="2">
        <v>7000000</v>
      </c>
      <c r="H31" s="2">
        <f t="shared" si="15"/>
        <v>6526060.0526091354</v>
      </c>
      <c r="I31">
        <f t="shared" si="17"/>
        <v>2</v>
      </c>
      <c r="J31" s="2">
        <f t="shared" si="11"/>
        <v>732939.94739086425</v>
      </c>
      <c r="K31" s="3">
        <v>3.6999999999999998E-2</v>
      </c>
      <c r="L31" s="2">
        <f t="shared" si="12"/>
        <v>241464.22194653799</v>
      </c>
      <c r="M31" s="9" t="s">
        <v>15</v>
      </c>
      <c r="N31" s="2">
        <f t="shared" si="13"/>
        <v>6034584.3271648092</v>
      </c>
      <c r="O31" t="s">
        <v>20</v>
      </c>
      <c r="P31" s="11">
        <v>41</v>
      </c>
    </row>
    <row r="32" spans="2:16" x14ac:dyDescent="0.3">
      <c r="B32" s="4"/>
      <c r="C32" s="4"/>
      <c r="D32" s="5"/>
      <c r="E32" s="5"/>
      <c r="F32" s="5"/>
      <c r="G32" s="6"/>
      <c r="H32" s="6"/>
      <c r="I32" s="4"/>
      <c r="J32" s="6"/>
      <c r="K32" s="7"/>
      <c r="L32" s="6"/>
      <c r="M32" s="10"/>
      <c r="N32" s="6"/>
      <c r="O32" s="4"/>
    </row>
    <row r="33" spans="4:14" x14ac:dyDescent="0.3">
      <c r="D33" s="1"/>
      <c r="E33" s="1"/>
      <c r="F33" s="1"/>
      <c r="G33" s="2"/>
      <c r="H33" s="2"/>
      <c r="J33" s="2"/>
      <c r="K33" s="3"/>
      <c r="L33" s="2"/>
      <c r="M33" s="9"/>
      <c r="N33" s="2"/>
    </row>
    <row r="34" spans="4:14" x14ac:dyDescent="0.3">
      <c r="D34" s="1"/>
      <c r="E34" s="1"/>
      <c r="F34" s="1"/>
      <c r="G34" s="2"/>
      <c r="H34" s="2"/>
      <c r="J34" s="2"/>
      <c r="K34" s="3"/>
      <c r="L34" s="2"/>
      <c r="M34" s="9"/>
      <c r="N34" s="2"/>
    </row>
    <row r="35" spans="4:14" x14ac:dyDescent="0.3">
      <c r="D35" s="1"/>
      <c r="E35" s="1"/>
      <c r="F35" s="1"/>
      <c r="G35" s="2"/>
      <c r="H35" s="2"/>
      <c r="J35" s="2"/>
      <c r="K35" s="3"/>
      <c r="L35" s="2"/>
      <c r="M35" s="9"/>
      <c r="N35" s="2"/>
    </row>
    <row r="36" spans="4:14" x14ac:dyDescent="0.3">
      <c r="D36" s="1"/>
      <c r="E36" s="1"/>
      <c r="F36" s="1"/>
      <c r="G36" s="2"/>
      <c r="H36" s="2"/>
      <c r="J36" s="2"/>
      <c r="K36" s="3"/>
      <c r="L36" s="2"/>
      <c r="M36" s="9"/>
      <c r="N36" s="2"/>
    </row>
    <row r="37" spans="4:14" x14ac:dyDescent="0.3">
      <c r="D37" s="1"/>
      <c r="E37" s="1"/>
      <c r="F37" s="1"/>
      <c r="G37" s="2"/>
      <c r="H37" s="2"/>
      <c r="J37" s="2"/>
      <c r="K37" s="3"/>
      <c r="L37" s="2"/>
      <c r="M37" s="9"/>
      <c r="N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Ricardo Duarte Castillo</dc:creator>
  <cp:lastModifiedBy>Angie Lorena Munoz</cp:lastModifiedBy>
  <dcterms:created xsi:type="dcterms:W3CDTF">2025-05-26T16:27:10Z</dcterms:created>
  <dcterms:modified xsi:type="dcterms:W3CDTF">2025-05-27T21:03:10Z</dcterms:modified>
</cp:coreProperties>
</file>